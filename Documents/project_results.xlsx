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aleh/onMyMac/DLX-NN/Documents/"/>
    </mc:Choice>
  </mc:AlternateContent>
  <xr:revisionPtr revIDLastSave="0" documentId="8_{6B4C949F-1CD8-F441-8E10-6D714F6CF5DA}" xr6:coauthVersionLast="47" xr6:coauthVersionMax="47" xr10:uidLastSave="{00000000-0000-0000-0000-000000000000}"/>
  <bookViews>
    <workbookView xWindow="0" yWindow="660" windowWidth="30240" windowHeight="17680" activeTab="2" xr2:uid="{00000000-000D-0000-FFFF-FFFF00000000}"/>
  </bookViews>
  <sheets>
    <sheet name="1. Accuracy" sheetId="1" r:id="rId1"/>
    <sheet name="2. Cycle Count" sheetId="2" r:id="rId2"/>
    <sheet name="3. Area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G9" i="3"/>
  <c r="E9" i="3"/>
  <c r="I9" i="3" s="1"/>
  <c r="D9" i="3"/>
  <c r="H8" i="3"/>
  <c r="G8" i="3"/>
  <c r="E8" i="3"/>
  <c r="I8" i="3" s="1"/>
  <c r="D8" i="3"/>
  <c r="E13" i="2"/>
  <c r="C13" i="2"/>
  <c r="H13" i="2" s="1"/>
  <c r="I12" i="2"/>
  <c r="H12" i="2"/>
  <c r="G12" i="2"/>
  <c r="F12" i="2"/>
  <c r="H11" i="2"/>
  <c r="G11" i="2"/>
  <c r="I11" i="2" s="1"/>
  <c r="F11" i="2"/>
  <c r="H10" i="2"/>
  <c r="G10" i="2"/>
  <c r="I10" i="2" s="1"/>
  <c r="F10" i="2"/>
  <c r="I9" i="2"/>
  <c r="H9" i="2"/>
  <c r="G9" i="2"/>
  <c r="F9" i="2"/>
  <c r="H8" i="2"/>
  <c r="G8" i="2"/>
  <c r="I8" i="2" s="1"/>
  <c r="F8" i="2"/>
  <c r="I14" i="1"/>
  <c r="E12" i="1"/>
  <c r="E11" i="1"/>
  <c r="E10" i="1"/>
  <c r="E9" i="1"/>
  <c r="E8" i="1"/>
  <c r="F13" i="2" l="1"/>
  <c r="G13" i="2"/>
  <c r="I13" i="2" s="1"/>
</calcChain>
</file>

<file path=xl/sharedStrings.xml><?xml version="1.0" encoding="utf-8"?>
<sst xmlns="http://schemas.openxmlformats.org/spreadsheetml/2006/main" count="49" uniqueCount="42">
  <si>
    <t>Function</t>
  </si>
  <si>
    <t>Sigmoid</t>
  </si>
  <si>
    <t>Tanh</t>
  </si>
  <si>
    <t>GELU</t>
  </si>
  <si>
    <t>ReLU</t>
  </si>
  <si>
    <t>Softmax</t>
  </si>
  <si>
    <t>Target 1 - Accuracy: Hardware Model vs. Exact Mathematical Value</t>
  </si>
  <si>
    <t>MSE requirement (max):</t>
  </si>
  <si>
    <t>Sweep Range</t>
  </si>
  <si>
    <t>Sample Points</t>
  </si>
  <si>
    <t>MSE</t>
  </si>
  <si>
    <t>Meets MSE &lt;= 0.025?</t>
  </si>
  <si>
    <t>[-10, 10]</t>
  </si>
  <si>
    <t>[-4, 4]</t>
  </si>
  <si>
    <t>[-5, 5]</t>
  </si>
  <si>
    <t>1,050 vectors, N=1..500</t>
  </si>
  <si>
    <t>Target 2 (R1) - Clock-Cycle Reduction: Hardware Engine vs. Pure Software</t>
  </si>
  <si>
    <t>Required cycle reduction:</t>
  </si>
  <si>
    <t>A. Whole-Program Total Clock Cycles (primary metric)</t>
  </si>
  <si>
    <t>SW Instr.</t>
  </si>
  <si>
    <t>SW Total Cycles</t>
  </si>
  <si>
    <t>HW Instr.</t>
  </si>
  <si>
    <t>HW Total Cycles</t>
  </si>
  <si>
    <t>Cycles Saved</t>
  </si>
  <si>
    <t>Reduction %</t>
  </si>
  <si>
    <t>Speed-up</t>
  </si>
  <si>
    <t>Meets &gt;= 30%?</t>
  </si>
  <si>
    <t>TOTAL / OVERALL</t>
  </si>
  <si>
    <t>Target 3 - DLX Area Comparison: Baseline vs. NN-Extended</t>
  </si>
  <si>
    <t>Area overhead budget (max):</t>
  </si>
  <si>
    <t>A. FPGA Resource Utilization</t>
  </si>
  <si>
    <t>Resource</t>
  </si>
  <si>
    <t>Baseline DLX</t>
  </si>
  <si>
    <t>DLX + NN Engine</t>
  </si>
  <si>
    <t>Absolute Delta</t>
  </si>
  <si>
    <t>Overhead %</t>
  </si>
  <si>
    <t>Device Total</t>
  </si>
  <si>
    <t>Baseline % Util</t>
  </si>
  <si>
    <t>Extended % Util</t>
  </si>
  <si>
    <t>Within Budget?</t>
  </si>
  <si>
    <t>Slice LUTs</t>
  </si>
  <si>
    <t>Slice Registers (FFs)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</si>
</sst>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\x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2"/>
      <color rgb="FF1F3864"/>
      <name val="Arial"/>
    </font>
    <font>
      <sz val="9"/>
      <color rgb="FF375623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0" borderId="1" xfId="0" applyFont="1" applyBorder="1"/>
    <xf numFmtId="3" fontId="4" fillId="0" borderId="1" xfId="0" applyNumberFormat="1" applyFont="1" applyBorder="1"/>
    <xf numFmtId="11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6" fillId="0" borderId="1" xfId="0" applyNumberFormat="1" applyFont="1" applyBorder="1"/>
    <xf numFmtId="166" fontId="6" fillId="0" borderId="1" xfId="0" applyNumberFormat="1" applyFont="1" applyBorder="1"/>
    <xf numFmtId="166" fontId="4" fillId="2" borderId="1" xfId="0" applyNumberFormat="1" applyFont="1" applyFill="1" applyBorder="1"/>
    <xf numFmtId="3" fontId="6" fillId="0" borderId="1" xfId="0" applyNumberFormat="1" applyFont="1" applyBorder="1"/>
    <xf numFmtId="0" fontId="3" fillId="5" borderId="1" xfId="0" applyFont="1" applyFill="1" applyBorder="1"/>
    <xf numFmtId="0" fontId="9" fillId="5" borderId="1" xfId="0" applyFont="1" applyFill="1" applyBorder="1"/>
    <xf numFmtId="3" fontId="6" fillId="5" borderId="1" xfId="0" applyNumberFormat="1" applyFont="1" applyFill="1" applyBorder="1"/>
    <xf numFmtId="166" fontId="6" fillId="5" borderId="1" xfId="0" applyNumberFormat="1" applyFont="1" applyFill="1" applyBorder="1"/>
    <xf numFmtId="165" fontId="6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8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zoomScale="130" zoomScaleNormal="130" workbookViewId="0">
      <pane ySplit="7" topLeftCell="A8" activePane="bottomLeft" state="frozen"/>
      <selection pane="bottomLeft" activeCell="AV22" sqref="AV22"/>
    </sheetView>
  </sheetViews>
  <sheetFormatPr baseColWidth="10" defaultColWidth="8.83203125" defaultRowHeight="15" x14ac:dyDescent="0.2"/>
  <cols>
    <col min="1" max="1" width="14" customWidth="1"/>
    <col min="2" max="2" width="42" customWidth="1"/>
    <col min="3" max="3" width="16" customWidth="1"/>
    <col min="4" max="8" width="14" customWidth="1"/>
    <col min="9" max="9" width="20" customWidth="1"/>
  </cols>
  <sheetData>
    <row r="1" spans="1:9" ht="18" customHeight="1" x14ac:dyDescent="0.2">
      <c r="A1" s="24" t="s">
        <v>6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2"/>
      <c r="B2" s="23"/>
      <c r="C2" s="23"/>
      <c r="D2" s="23"/>
      <c r="E2" s="23"/>
      <c r="F2" s="23"/>
      <c r="G2" s="23"/>
      <c r="H2" s="23"/>
      <c r="I2" s="2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3" t="s">
        <v>7</v>
      </c>
      <c r="B4" s="1"/>
      <c r="C4" s="4">
        <v>2.5000000000000001E-2</v>
      </c>
      <c r="D4" s="1"/>
      <c r="E4" s="1"/>
      <c r="F4" s="1"/>
      <c r="G4" s="1"/>
      <c r="H4" s="1"/>
      <c r="I4" s="1"/>
    </row>
    <row r="5" spans="1:9" x14ac:dyDescent="0.2">
      <c r="A5" s="22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ht="30" customHeight="1" x14ac:dyDescent="0.2">
      <c r="A7" s="5" t="s">
        <v>0</v>
      </c>
      <c r="B7" s="5" t="s">
        <v>8</v>
      </c>
      <c r="C7" s="5" t="s">
        <v>9</v>
      </c>
      <c r="D7" s="5" t="s">
        <v>10</v>
      </c>
      <c r="E7" s="5" t="s">
        <v>11</v>
      </c>
    </row>
    <row r="8" spans="1:9" x14ac:dyDescent="0.2">
      <c r="A8" s="6" t="s">
        <v>1</v>
      </c>
      <c r="B8" s="7" t="s">
        <v>12</v>
      </c>
      <c r="C8" s="8">
        <v>5121</v>
      </c>
      <c r="D8" s="9">
        <v>4.6909100000000001E-5</v>
      </c>
      <c r="E8" s="10" t="str">
        <f>IF(D8&lt;=$C$4,"PASS","FAIL")</f>
        <v>PASS</v>
      </c>
    </row>
    <row r="9" spans="1:9" x14ac:dyDescent="0.2">
      <c r="A9" s="6" t="s">
        <v>2</v>
      </c>
      <c r="B9" s="7" t="s">
        <v>13</v>
      </c>
      <c r="C9" s="8">
        <v>2049</v>
      </c>
      <c r="D9" s="9">
        <v>2.34396E-4</v>
      </c>
      <c r="E9" s="10" t="str">
        <f>IF(D9&lt;=$C$4,"PASS","FAIL")</f>
        <v>PASS</v>
      </c>
    </row>
    <row r="10" spans="1:9" x14ac:dyDescent="0.2">
      <c r="A10" s="6" t="s">
        <v>3</v>
      </c>
      <c r="B10" s="7" t="s">
        <v>14</v>
      </c>
      <c r="C10" s="8">
        <v>2561</v>
      </c>
      <c r="D10" s="9">
        <v>4.9158860000000004E-4</v>
      </c>
      <c r="E10" s="10" t="str">
        <f>IF(D10&lt;=$C$4,"PASS","FAIL")</f>
        <v>PASS</v>
      </c>
    </row>
    <row r="11" spans="1:9" x14ac:dyDescent="0.2">
      <c r="A11" s="6" t="s">
        <v>4</v>
      </c>
      <c r="B11" s="7" t="s">
        <v>12</v>
      </c>
      <c r="C11" s="8">
        <v>5121</v>
      </c>
      <c r="D11" s="9">
        <v>0</v>
      </c>
      <c r="E11" s="10" t="str">
        <f>IF(D11&lt;=$C$4,"PASS","FAIL")</f>
        <v>PASS</v>
      </c>
    </row>
    <row r="12" spans="1:9" x14ac:dyDescent="0.2">
      <c r="A12" s="6" t="s">
        <v>5</v>
      </c>
      <c r="B12" s="7" t="s">
        <v>15</v>
      </c>
      <c r="C12" s="8">
        <v>1050</v>
      </c>
      <c r="D12" s="9">
        <v>1.026383E-4</v>
      </c>
      <c r="E12" s="10" t="str">
        <f>IF(D12&lt;=$C$4,"PASS","FAIL")</f>
        <v>PASS</v>
      </c>
    </row>
    <row r="13" spans="1:9" x14ac:dyDescent="0.2">
      <c r="F13" s="1"/>
      <c r="G13" s="1"/>
      <c r="H13" s="1"/>
      <c r="I13" s="1"/>
    </row>
    <row r="14" spans="1:9" x14ac:dyDescent="0.2">
      <c r="A14" s="23"/>
      <c r="B14" s="23"/>
      <c r="C14" s="23"/>
      <c r="D14" s="23"/>
      <c r="F14" s="1"/>
      <c r="G14" s="1"/>
      <c r="H14" s="1"/>
      <c r="I14" s="11" t="str">
        <f>IF(E14&lt;=$C$4,"ALL PASS","SOME FAIL")</f>
        <v>ALL PASS</v>
      </c>
    </row>
    <row r="15" spans="1:9" x14ac:dyDescent="0.2">
      <c r="A15" s="23"/>
      <c r="B15" s="23"/>
      <c r="C15" s="23"/>
      <c r="D15" s="23"/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ht="15.75" customHeight="1" x14ac:dyDescent="0.2">
      <c r="A18" s="25"/>
      <c r="B18" s="23"/>
      <c r="C18" s="23"/>
      <c r="D18" s="23"/>
      <c r="E18" s="23"/>
      <c r="F18" s="23"/>
      <c r="G18" s="23"/>
      <c r="H18" s="23"/>
      <c r="I18" s="23"/>
    </row>
    <row r="19" spans="1:9" ht="30" customHeight="1" x14ac:dyDescent="0.2">
      <c r="G19" s="23"/>
      <c r="H19" s="23"/>
      <c r="I19" s="23"/>
    </row>
    <row r="20" spans="1:9" x14ac:dyDescent="0.2">
      <c r="G20" s="23"/>
      <c r="H20" s="23"/>
      <c r="I20" s="23"/>
    </row>
    <row r="21" spans="1:9" x14ac:dyDescent="0.2">
      <c r="G21" s="23"/>
      <c r="H21" s="23"/>
      <c r="I21" s="23"/>
    </row>
    <row r="22" spans="1:9" x14ac:dyDescent="0.2">
      <c r="G22" s="23"/>
      <c r="H22" s="23"/>
      <c r="I22" s="23"/>
    </row>
    <row r="23" spans="1:9" x14ac:dyDescent="0.2">
      <c r="G23" s="23"/>
      <c r="H23" s="23"/>
      <c r="I23" s="23"/>
    </row>
    <row r="24" spans="1:9" x14ac:dyDescent="0.2">
      <c r="G24" s="23"/>
      <c r="H24" s="23"/>
      <c r="I24" s="23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22"/>
      <c r="B26" s="23"/>
      <c r="C26" s="23"/>
      <c r="D26" s="23"/>
      <c r="E26" s="23"/>
      <c r="F26" s="23"/>
      <c r="G26" s="23"/>
      <c r="H26" s="23"/>
      <c r="I26" s="23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2"/>
      <c r="B31" s="23"/>
      <c r="C31" s="23"/>
      <c r="D31" s="23"/>
      <c r="E31" s="23"/>
      <c r="F31" s="23"/>
      <c r="G31" s="23"/>
      <c r="H31" s="23"/>
      <c r="I31" s="23"/>
    </row>
  </sheetData>
  <mergeCells count="15">
    <mergeCell ref="A1:I1"/>
    <mergeCell ref="A15:D15"/>
    <mergeCell ref="A18:I18"/>
    <mergeCell ref="A31:I31"/>
    <mergeCell ref="G20:I20"/>
    <mergeCell ref="G21:I21"/>
    <mergeCell ref="A26:I26"/>
    <mergeCell ref="A14:D14"/>
    <mergeCell ref="G24:I24"/>
    <mergeCell ref="A2:I2"/>
    <mergeCell ref="A28:I28"/>
    <mergeCell ref="G19:I19"/>
    <mergeCell ref="A5:I5"/>
    <mergeCell ref="G22:I22"/>
    <mergeCell ref="G23:I23"/>
  </mergeCells>
  <conditionalFormatting sqref="E8:E12">
    <cfRule type="cellIs" dxfId="7" priority="1" operator="equal">
      <formula>"PASS"</formula>
    </cfRule>
    <cfRule type="cellIs" dxfId="6" priority="2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>
      <pane ySplit="7" topLeftCell="A8" activePane="bottomLeft" state="frozen"/>
      <selection pane="bottomLeft" activeCell="G12" sqref="G12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7" customWidth="1"/>
    <col min="4" max="4" width="12" customWidth="1"/>
    <col min="5" max="5" width="17" customWidth="1"/>
    <col min="6" max="6" width="14" customWidth="1"/>
    <col min="7" max="7" width="13" customWidth="1"/>
    <col min="8" max="8" width="12" customWidth="1"/>
    <col min="9" max="9" width="16" customWidth="1"/>
  </cols>
  <sheetData>
    <row r="1" spans="1:9" ht="18" customHeight="1" x14ac:dyDescent="0.2">
      <c r="A1" s="24" t="s">
        <v>16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2"/>
      <c r="B2" s="23"/>
      <c r="C2" s="23"/>
      <c r="D2" s="23"/>
      <c r="E2" s="23"/>
      <c r="F2" s="23"/>
      <c r="G2" s="23"/>
      <c r="H2" s="23"/>
      <c r="I2" s="2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3" t="s">
        <v>17</v>
      </c>
      <c r="B4" s="1"/>
      <c r="C4" s="14">
        <v>0.2</v>
      </c>
      <c r="D4" s="1"/>
      <c r="E4" s="1"/>
      <c r="F4" s="1"/>
      <c r="G4" s="1"/>
      <c r="H4" s="1"/>
      <c r="I4" s="1"/>
    </row>
    <row r="5" spans="1:9" x14ac:dyDescent="0.2">
      <c r="A5" s="22"/>
      <c r="B5" s="23"/>
      <c r="C5" s="23"/>
      <c r="D5" s="23"/>
      <c r="E5" s="23"/>
      <c r="F5" s="23"/>
      <c r="G5" s="23"/>
      <c r="H5" s="23"/>
      <c r="I5" s="23"/>
    </row>
    <row r="6" spans="1:9" ht="15.75" customHeight="1" x14ac:dyDescent="0.2">
      <c r="A6" s="25" t="s">
        <v>18</v>
      </c>
      <c r="B6" s="23"/>
      <c r="C6" s="23"/>
      <c r="D6" s="23"/>
      <c r="E6" s="23"/>
      <c r="F6" s="23"/>
      <c r="G6" s="23"/>
      <c r="H6" s="23"/>
      <c r="I6" s="23"/>
    </row>
    <row r="7" spans="1:9" ht="30" customHeight="1" x14ac:dyDescent="0.2">
      <c r="A7" s="5" t="s">
        <v>0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5" t="s">
        <v>26</v>
      </c>
    </row>
    <row r="8" spans="1:9" x14ac:dyDescent="0.2">
      <c r="A8" s="6" t="s">
        <v>1</v>
      </c>
      <c r="B8" s="8">
        <v>28</v>
      </c>
      <c r="C8" s="8">
        <v>249</v>
      </c>
      <c r="D8" s="8">
        <v>6</v>
      </c>
      <c r="E8" s="8">
        <v>57</v>
      </c>
      <c r="F8" s="15">
        <f t="shared" ref="F8:F13" si="0">C8-E8</f>
        <v>192</v>
      </c>
      <c r="G8" s="13">
        <f t="shared" ref="G8:G13" si="1">(C8-E8)/C8</f>
        <v>0.77108433734939763</v>
      </c>
      <c r="H8" s="12">
        <f t="shared" ref="H8:H13" si="2">C8/E8</f>
        <v>4.3684210526315788</v>
      </c>
      <c r="I8" s="10" t="str">
        <f t="shared" ref="I8:I13" si="3">IF(G8&gt;=$C$4,"PASS","FAIL")</f>
        <v>PASS</v>
      </c>
    </row>
    <row r="9" spans="1:9" x14ac:dyDescent="0.2">
      <c r="A9" s="6" t="s">
        <v>2</v>
      </c>
      <c r="B9" s="8">
        <v>37</v>
      </c>
      <c r="C9" s="8">
        <v>347</v>
      </c>
      <c r="D9" s="8">
        <v>6</v>
      </c>
      <c r="E9" s="8">
        <v>57</v>
      </c>
      <c r="F9" s="15">
        <f t="shared" si="0"/>
        <v>290</v>
      </c>
      <c r="G9" s="13">
        <f t="shared" si="1"/>
        <v>0.83573487031700289</v>
      </c>
      <c r="H9" s="12">
        <f t="shared" si="2"/>
        <v>6.0877192982456139</v>
      </c>
      <c r="I9" s="10" t="str">
        <f t="shared" si="3"/>
        <v>PASS</v>
      </c>
    </row>
    <row r="10" spans="1:9" x14ac:dyDescent="0.2">
      <c r="A10" s="6" t="s">
        <v>3</v>
      </c>
      <c r="B10" s="8">
        <v>44</v>
      </c>
      <c r="C10" s="8">
        <v>387</v>
      </c>
      <c r="D10" s="8">
        <v>6</v>
      </c>
      <c r="E10" s="8">
        <v>58</v>
      </c>
      <c r="F10" s="15">
        <f t="shared" si="0"/>
        <v>329</v>
      </c>
      <c r="G10" s="13">
        <f t="shared" si="1"/>
        <v>0.85012919896640826</v>
      </c>
      <c r="H10" s="12">
        <f t="shared" si="2"/>
        <v>6.6724137931034484</v>
      </c>
      <c r="I10" s="10" t="str">
        <f t="shared" si="3"/>
        <v>PASS</v>
      </c>
    </row>
    <row r="11" spans="1:9" x14ac:dyDescent="0.2">
      <c r="A11" s="6" t="s">
        <v>4</v>
      </c>
      <c r="B11" s="8">
        <v>8</v>
      </c>
      <c r="C11" s="8">
        <v>72</v>
      </c>
      <c r="D11" s="8">
        <v>6</v>
      </c>
      <c r="E11" s="8">
        <v>57</v>
      </c>
      <c r="F11" s="15">
        <f t="shared" si="0"/>
        <v>15</v>
      </c>
      <c r="G11" s="13">
        <f t="shared" si="1"/>
        <v>0.20833333333333334</v>
      </c>
      <c r="H11" s="12">
        <f t="shared" si="2"/>
        <v>1.263157894736842</v>
      </c>
      <c r="I11" s="10" t="str">
        <f t="shared" si="3"/>
        <v>PASS</v>
      </c>
    </row>
    <row r="12" spans="1:9" x14ac:dyDescent="0.2">
      <c r="A12" s="6" t="s">
        <v>5</v>
      </c>
      <c r="B12" s="8">
        <v>558</v>
      </c>
      <c r="C12" s="8">
        <v>4675</v>
      </c>
      <c r="D12" s="8">
        <v>6</v>
      </c>
      <c r="E12" s="8">
        <v>163</v>
      </c>
      <c r="F12" s="15">
        <f t="shared" si="0"/>
        <v>4512</v>
      </c>
      <c r="G12" s="13">
        <f t="shared" si="1"/>
        <v>0.96513368983957215</v>
      </c>
      <c r="H12" s="12">
        <f t="shared" si="2"/>
        <v>28.680981595092025</v>
      </c>
      <c r="I12" s="10" t="str">
        <f t="shared" si="3"/>
        <v>PASS</v>
      </c>
    </row>
    <row r="13" spans="1:9" x14ac:dyDescent="0.2">
      <c r="A13" s="16" t="s">
        <v>27</v>
      </c>
      <c r="B13" s="17"/>
      <c r="C13" s="18">
        <f>SUM(C8:C12)</f>
        <v>5730</v>
      </c>
      <c r="D13" s="17"/>
      <c r="E13" s="18">
        <f>SUM(E8:E12)</f>
        <v>392</v>
      </c>
      <c r="F13" s="18">
        <f t="shared" si="0"/>
        <v>5338</v>
      </c>
      <c r="G13" s="19">
        <f t="shared" si="1"/>
        <v>0.93158813263525309</v>
      </c>
      <c r="H13" s="20">
        <f t="shared" si="2"/>
        <v>14.61734693877551</v>
      </c>
      <c r="I13" s="21" t="str">
        <f t="shared" si="3"/>
        <v>PASS</v>
      </c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3"/>
      <c r="B15" s="23"/>
      <c r="C15" s="23"/>
      <c r="D15" s="23"/>
      <c r="E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30" customHeight="1" x14ac:dyDescent="0.2">
      <c r="H21" s="23"/>
      <c r="I21" s="23"/>
    </row>
    <row r="22" spans="1:9" x14ac:dyDescent="0.2">
      <c r="H22" s="23"/>
      <c r="I22" s="23"/>
    </row>
    <row r="23" spans="1:9" x14ac:dyDescent="0.2">
      <c r="H23" s="23"/>
      <c r="I23" s="23"/>
    </row>
    <row r="24" spans="1:9" x14ac:dyDescent="0.2">
      <c r="H24" s="23"/>
      <c r="I24" s="23"/>
    </row>
    <row r="25" spans="1:9" x14ac:dyDescent="0.2">
      <c r="H25" s="23"/>
      <c r="I25" s="23"/>
    </row>
    <row r="27" spans="1:9" x14ac:dyDescent="0.2">
      <c r="A27" s="23"/>
      <c r="B27" s="23"/>
      <c r="C27" s="23"/>
      <c r="D27" s="23"/>
      <c r="E27" s="23"/>
      <c r="F27" s="23"/>
      <c r="G27" s="23"/>
      <c r="H27" s="23"/>
      <c r="I27" s="23"/>
    </row>
    <row r="30" spans="1:9" x14ac:dyDescent="0.2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30" customHeight="1" x14ac:dyDescent="0.2"/>
    <row r="38" spans="1:9" x14ac:dyDescent="0.2">
      <c r="A38" s="23"/>
      <c r="B38" s="23"/>
      <c r="C38" s="23"/>
      <c r="D38" s="23"/>
      <c r="E38" s="23"/>
      <c r="F38" s="23"/>
      <c r="G38" s="23"/>
      <c r="H38" s="23"/>
      <c r="I38" s="23"/>
    </row>
  </sheetData>
  <mergeCells count="18">
    <mergeCell ref="A38:I38"/>
    <mergeCell ref="H24:I24"/>
    <mergeCell ref="A1:I1"/>
    <mergeCell ref="A27:C27"/>
    <mergeCell ref="H23:I23"/>
    <mergeCell ref="A6:I6"/>
    <mergeCell ref="H22:I22"/>
    <mergeCell ref="C15:E15"/>
    <mergeCell ref="A20:I20"/>
    <mergeCell ref="A30:I30"/>
    <mergeCell ref="A16:I16"/>
    <mergeCell ref="H25:I25"/>
    <mergeCell ref="D27:I27"/>
    <mergeCell ref="H21:I21"/>
    <mergeCell ref="A2:I2"/>
    <mergeCell ref="A15:B15"/>
    <mergeCell ref="A19:I19"/>
    <mergeCell ref="A5:I5"/>
  </mergeCells>
  <conditionalFormatting sqref="H22:H25">
    <cfRule type="cellIs" dxfId="5" priority="3" operator="equal">
      <formula>"PASS"</formula>
    </cfRule>
    <cfRule type="cellIs" dxfId="4" priority="4" operator="equal">
      <formula>"FAIL"</formula>
    </cfRule>
  </conditionalFormatting>
  <conditionalFormatting sqref="I8:I12">
    <cfRule type="cellIs" dxfId="3" priority="1" operator="equal">
      <formula>"PASS"</formula>
    </cfRule>
    <cfRule type="cellIs" dxfId="2" priority="2" operator="equal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showGridLines="0" tabSelected="1" workbookViewId="0">
      <pane ySplit="7" topLeftCell="A8" activePane="bottomLeft" state="frozen"/>
      <selection pane="bottomLeft" activeCell="A5" sqref="A5:I5"/>
    </sheetView>
  </sheetViews>
  <sheetFormatPr baseColWidth="10" defaultColWidth="8.83203125" defaultRowHeight="15" x14ac:dyDescent="0.2"/>
  <cols>
    <col min="1" max="1" width="26" customWidth="1"/>
    <col min="2" max="2" width="16" customWidth="1"/>
    <col min="3" max="3" width="18" customWidth="1"/>
    <col min="4" max="4" width="16" customWidth="1"/>
    <col min="5" max="6" width="14" customWidth="1"/>
    <col min="7" max="8" width="15" customWidth="1"/>
    <col min="9" max="9" width="16" customWidth="1"/>
  </cols>
  <sheetData>
    <row r="1" spans="1:9" ht="18" customHeight="1" x14ac:dyDescent="0.2">
      <c r="A1" s="24" t="s">
        <v>28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6"/>
      <c r="B2" s="23"/>
      <c r="C2" s="23"/>
      <c r="D2" s="23"/>
      <c r="E2" s="23"/>
      <c r="F2" s="23"/>
      <c r="G2" s="23"/>
      <c r="H2" s="23"/>
      <c r="I2" s="23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3" t="s">
        <v>29</v>
      </c>
      <c r="B4" s="1"/>
      <c r="C4" s="14">
        <v>0.2</v>
      </c>
      <c r="D4" s="2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ht="15.75" customHeight="1" x14ac:dyDescent="0.2">
      <c r="A6" s="25" t="s">
        <v>30</v>
      </c>
      <c r="B6" s="23"/>
      <c r="C6" s="23"/>
      <c r="D6" s="23"/>
      <c r="E6" s="23"/>
      <c r="F6" s="23"/>
      <c r="G6" s="23"/>
      <c r="H6" s="23"/>
      <c r="I6" s="23"/>
    </row>
    <row r="7" spans="1:9" ht="30" customHeight="1" x14ac:dyDescent="0.2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5" t="s">
        <v>39</v>
      </c>
    </row>
    <row r="8" spans="1:9" x14ac:dyDescent="0.2">
      <c r="A8" s="6" t="s">
        <v>40</v>
      </c>
      <c r="B8" s="8">
        <v>1073</v>
      </c>
      <c r="C8" s="8">
        <v>2282</v>
      </c>
      <c r="D8" s="15">
        <f>IF(OR(B8="",C8=""),"",C8-B8)</f>
        <v>1209</v>
      </c>
      <c r="E8" s="13">
        <f>IF(OR(B8="",B8=0),"",(C8-B8)/B8)</f>
        <v>1.1267474370922648</v>
      </c>
      <c r="F8" s="8">
        <v>15032</v>
      </c>
      <c r="G8" s="13">
        <f>IF(OR(F8="",F8=0),"",B8/F8)</f>
        <v>7.1381053751995743E-2</v>
      </c>
      <c r="H8" s="13">
        <f>IF(OR(F8="",F8=0),"",C8/F8)</f>
        <v>0.15180947312400214</v>
      </c>
      <c r="I8" s="10" t="str">
        <f>IF(E8="","",IF(E8&lt;=$C$4,"PASS","REVIEW"))</f>
        <v>REVIEW</v>
      </c>
    </row>
    <row r="9" spans="1:9" x14ac:dyDescent="0.2">
      <c r="A9" s="6" t="s">
        <v>41</v>
      </c>
      <c r="B9" s="8">
        <v>676</v>
      </c>
      <c r="C9" s="8">
        <v>1183</v>
      </c>
      <c r="D9" s="15">
        <f>IF(OR(B9="",C9=""),"",C9-B9)</f>
        <v>507</v>
      </c>
      <c r="E9" s="13">
        <f>IF(OR(B9="",B9=0),"",(C9-B9)/B9)</f>
        <v>0.75</v>
      </c>
      <c r="F9" s="8">
        <v>30064</v>
      </c>
      <c r="G9" s="13">
        <f>IF(OR(F9="",F9=0),"",B9/F9)</f>
        <v>2.2485364555614687E-2</v>
      </c>
      <c r="H9" s="13">
        <f>IF(OR(F9="",F9=0),"",C9/F9)</f>
        <v>3.9349387972325706E-2</v>
      </c>
      <c r="I9" s="10" t="str">
        <f>IF(E9="","",IF(E9&lt;=$C$4,"PASS","REVIEW"))</f>
        <v>REVIEW</v>
      </c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30" customHeight="1" x14ac:dyDescent="0.2"/>
    <row r="32" spans="1:9" x14ac:dyDescent="0.2">
      <c r="A32" s="23"/>
      <c r="B32" s="23"/>
      <c r="C32" s="23"/>
      <c r="D32" s="23"/>
      <c r="E32" s="23"/>
      <c r="F32" s="23"/>
      <c r="G32" s="23"/>
      <c r="H32" s="23"/>
      <c r="I32" s="23"/>
    </row>
    <row r="35" spans="1:9" x14ac:dyDescent="0.2">
      <c r="A35" s="23"/>
      <c r="B35" s="23"/>
      <c r="C35" s="23"/>
      <c r="D35" s="23"/>
      <c r="E35" s="23"/>
      <c r="F35" s="23"/>
      <c r="G35" s="23"/>
      <c r="H35" s="23"/>
      <c r="I35" s="23"/>
    </row>
    <row r="36" spans="1:9" ht="30" customHeight="1" x14ac:dyDescent="0.2">
      <c r="F36" s="23"/>
      <c r="G36" s="23"/>
      <c r="H36" s="23"/>
      <c r="I36" s="23"/>
    </row>
    <row r="43" spans="1:9" x14ac:dyDescent="0.2">
      <c r="A43" s="23"/>
      <c r="B43" s="23"/>
      <c r="C43" s="23"/>
      <c r="D43" s="23"/>
      <c r="E43" s="23"/>
      <c r="F43" s="23"/>
      <c r="G43" s="23"/>
      <c r="H43" s="23"/>
      <c r="I43" s="23"/>
    </row>
    <row r="45" spans="1:9" x14ac:dyDescent="0.2">
      <c r="A45" s="23"/>
      <c r="B45" s="23"/>
      <c r="C45" s="23"/>
      <c r="D45" s="23"/>
      <c r="E45" s="23"/>
      <c r="F45" s="23"/>
      <c r="G45" s="23"/>
      <c r="H45" s="23"/>
      <c r="I45" s="23"/>
    </row>
  </sheetData>
  <mergeCells count="9">
    <mergeCell ref="A43:I43"/>
    <mergeCell ref="A2:I2"/>
    <mergeCell ref="A32:I32"/>
    <mergeCell ref="A1:I1"/>
    <mergeCell ref="A45:I45"/>
    <mergeCell ref="A18:I18"/>
    <mergeCell ref="A6:I6"/>
    <mergeCell ref="A35:I35"/>
    <mergeCell ref="F36:I36"/>
  </mergeCells>
  <conditionalFormatting sqref="I8:I15">
    <cfRule type="cellIs" dxfId="1" priority="1" operator="equal">
      <formula>"PASS"</formula>
    </cfRule>
    <cfRule type="cellIs" dxfId="0" priority="2" operator="equal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Accuracy</vt:lpstr>
      <vt:lpstr>2. Cycle Count</vt:lpstr>
      <vt:lpstr>3.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 Khalil</cp:lastModifiedBy>
  <dcterms:created xsi:type="dcterms:W3CDTF">2026-07-20T20:30:29Z</dcterms:created>
  <dcterms:modified xsi:type="dcterms:W3CDTF">2026-08-22T10:50:23Z</dcterms:modified>
</cp:coreProperties>
</file>